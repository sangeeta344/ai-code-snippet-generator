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everity Guide" sheetId="2" state="visible" r:id="rId2"/>
    <sheet xmlns:r="http://schemas.openxmlformats.org/officeDocument/2006/relationships" name="Bug Summary" sheetId="3" state="visible" r:id="rId3"/>
  </sheets>
  <definedNames>
    <definedName name="_xlnm._FilterDatabase" localSheetId="0" hidden="1">'Bug Tracker'!$A$1:$K$101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55" customWidth="1" min="4" max="4"/>
    <col width="45" customWidth="1" min="5" max="5"/>
    <col width="45" customWidth="1" min="6" max="6"/>
    <col width="16" customWidth="1" min="7" max="7"/>
    <col width="20" customWidth="1" min="8" max="8"/>
    <col width="20" customWidth="1" min="9" max="9"/>
    <col width="16" customWidth="1" min="10" max="10"/>
    <col width="40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Assigned To</t>
        </is>
      </c>
      <c r="I1" s="1" t="inlineStr">
        <is>
          <t>Status</t>
        </is>
      </c>
      <c r="J1" s="1" t="inlineStr">
        <is>
          <t>Date Found</t>
        </is>
      </c>
      <c r="K1" s="1" t="inlineStr">
        <is>
          <t>Remarks</t>
        </is>
      </c>
    </row>
  </sheetData>
  <autoFilter ref="A1:K101"/>
  <dataValidations count="2">
    <dataValidation sqref="G2:G101" showDropDown="0" showInputMessage="0" showErrorMessage="0" allowBlank="1" type="list">
      <formula1>"Critical,High,Medium,Low"</formula1>
    </dataValidation>
    <dataValidation sqref="I2:I101" showDropDown="0" showInputMessage="0" showErrorMessage="0" allowBlank="1" type="list">
      <formula1>"Open,In Progress,Fixed,Retest Required,Closed,Rejected"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2" t="inlineStr">
        <is>
          <t>Severity</t>
        </is>
      </c>
      <c r="B1" s="2" t="inlineStr">
        <is>
          <t>Meaning</t>
        </is>
      </c>
      <c r="C1" s="2" t="inlineStr">
        <is>
          <t>Example</t>
        </is>
      </c>
    </row>
    <row r="2">
      <c r="A2" t="inlineStr">
        <is>
          <t>Critical</t>
        </is>
      </c>
      <c r="B2" t="inlineStr">
        <is>
          <t>Application crashes, cannot start, or major safety/security failure</t>
        </is>
      </c>
      <c r="C2" t="inlineStr">
        <is>
          <t>Generate button crashes the application</t>
        </is>
      </c>
    </row>
    <row r="3">
      <c r="A3" t="inlineStr">
        <is>
          <t>High</t>
        </is>
      </c>
      <c r="B3" t="inlineStr">
        <is>
          <t>Generated code is invalid, irrelevant, functionally incorrect, or unsafe</t>
        </is>
      </c>
      <c r="C3" t="inlineStr">
        <is>
          <t>Generated Python has a syntax error</t>
        </is>
      </c>
    </row>
    <row r="4">
      <c r="A4" t="inlineStr">
        <is>
          <t>Medium</t>
        </is>
      </c>
      <c r="B4" t="inlineStr">
        <is>
          <t>Useful feature is broken or inconsistent</t>
        </is>
      </c>
      <c r="C4" t="inlineStr">
        <is>
          <t>Copy button does not work</t>
        </is>
      </c>
    </row>
    <row r="5">
      <c r="A5" t="inlineStr">
        <is>
          <t>Low</t>
        </is>
      </c>
      <c r="B5" t="inlineStr">
        <is>
          <t>Minor cosmetic/usability issue</t>
        </is>
      </c>
      <c r="C5" t="inlineStr">
        <is>
          <t>Typo in an error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Bugs</t>
        </is>
      </c>
      <c r="B2">
        <f>COUNTA('Bug Tracker'!A2:A101)</f>
        <v/>
      </c>
    </row>
    <row r="3">
      <c r="A3" t="inlineStr">
        <is>
          <t>Critical Bugs</t>
        </is>
      </c>
      <c r="B3">
        <f>COUNTIF('Bug Tracker'!G2:G101,"Critical")</f>
        <v/>
      </c>
    </row>
    <row r="4">
      <c r="A4" t="inlineStr">
        <is>
          <t>High Bugs</t>
        </is>
      </c>
      <c r="B4">
        <f>COUNTIF('Bug Tracker'!G2:G101,"High")</f>
        <v/>
      </c>
    </row>
    <row r="5">
      <c r="A5" t="inlineStr">
        <is>
          <t>Medium Bugs</t>
        </is>
      </c>
      <c r="B5">
        <f>COUNTIF('Bug Tracker'!G2:G101,"Medium")</f>
        <v/>
      </c>
    </row>
    <row r="6">
      <c r="A6" t="inlineStr">
        <is>
          <t>Low Bugs</t>
        </is>
      </c>
      <c r="B6">
        <f>COUNTIF('Bug Tracker'!G2:G101,"Low")</f>
        <v/>
      </c>
    </row>
    <row r="7">
      <c r="A7" t="inlineStr">
        <is>
          <t>Open Bugs</t>
        </is>
      </c>
      <c r="B7">
        <f>COUNTIF('Bug Tracker'!I2:I101,"Open")</f>
        <v/>
      </c>
    </row>
    <row r="8">
      <c r="A8" t="inlineStr">
        <is>
          <t>In Progress Bugs</t>
        </is>
      </c>
      <c r="B8">
        <f>COUNTIF('Bug Tracker'!I2:I101,"In Progress")</f>
        <v/>
      </c>
    </row>
    <row r="9">
      <c r="A9" t="inlineStr">
        <is>
          <t>Fixed Bugs</t>
        </is>
      </c>
      <c r="B9">
        <f>COUNTIF('Bug Tracker'!I2:I101,"Fixed")</f>
        <v/>
      </c>
    </row>
    <row r="10">
      <c r="A10" t="inlineStr">
        <is>
          <t>Retest Required</t>
        </is>
      </c>
      <c r="B10">
        <f>COUNTIF('Bug Tracker'!I2:I101,"Retest Required")</f>
        <v/>
      </c>
    </row>
    <row r="11">
      <c r="A11" t="inlineStr">
        <is>
          <t>Closed Bugs</t>
        </is>
      </c>
      <c r="B11">
        <f>COUNTIF('Bug Tracker'!I2:I101,"Closed")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2026-09-23T09:54:58Z</dcterms:created>
  <dcterms:modified xmlns:dcterms="http://purl.org/dc/terms/" xmlns:xsi="http://www.w3.org/2001/XMLSchema-instance" xsi:type="dcterms:W3CDTF">2026-09-23T09:54:58Z</dcterms:modified>
</cp:coreProperties>
</file>